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<sst xmlns="http://schemas.openxmlformats.org/spreadsheetml/2006/main" count="399" uniqueCount="86">
  <si>
    <t xml:space="preserve">EmpID</t>
  </si>
  <si>
    <t xml:space="preserve">EmployeeName</t>
  </si>
  <si>
    <t xml:space="preserve">Department</t>
  </si>
  <si>
    <t xml:space="preserve">HourlyRate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</si>
  <si>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</si>
  <si>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</si>
  <si>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</si>
  <si>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</si>
  <si>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</si>
  <si>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</si>
  <si>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</si>
  <si>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</si>
  <si>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</si>
  <si>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</si>
  <si>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</si>
  <si>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</si>
  <si>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</si>
  <si>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</si>
  <si>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</si>
  <si>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</si>
  <si>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</si>
  <si>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</si>
  <si>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</si>
  <si>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</si>
  <si>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Total Present (P)</t>
  </si>
  <si>
    <t xml:space="preserve">Total Absent (A)</t>
  </si>
  <si>
    <t xml:space="preserve">Sick Days (S)</t>
  </si>
  <si>
    <t xml:space="preserve">Vacation (V)</t>
  </si>
  <si>
    <t xml:space="preserve">Total Hours Worked</t>
  </si>
  <si>
    <t xml:space="preserve">Gross Pay</t>
  </si>
  <si>
    <t xml:space="preserve">HR-001</t>
  </si>
  <si>
    <t xml:space="preserve">John Smith</t>
  </si>
  <si>
    <t xml:space="preserve">Sales</t>
  </si>
  <si>
    <t xml:space="preserve">25.00</t>
  </si>
  <si>
    <t xml:space="preserve">P</t>
  </si>
  <si>
    <t xml:space="preserve">A</t>
  </si>
  <si>
    <t xml:space="preserve">HR-002</t>
  </si>
  <si>
    <t xml:space="preserve">Sarah Lee</t>
  </si>
  <si>
    <t xml:space="preserve">Marketing</t>
  </si>
  <si>
    <t xml:space="preserve">28.50</t>
  </si>
  <si>
    <t xml:space="preserve">S</t>
  </si>
  <si>
    <t xml:space="preserve">HR-003</t>
  </si>
  <si>
    <t xml:space="preserve">Mike Chen</t>
  </si>
  <si>
    <t xml:space="preserve">IT</t>
  </si>
  <si>
    <t xml:space="preserve">35.00</t>
  </si>
  <si>
    <t xml:space="preserve">HR-004</t>
  </si>
  <si>
    <t xml:space="preserve">Emma Davis</t>
  </si>
  <si>
    <t xml:space="preserve">HR</t>
  </si>
  <si>
    <t xml:space="preserve">30.00</t>
  </si>
  <si>
    <t xml:space="preserve">V</t>
  </si>
  <si>
    <t xml:space="preserve">HR-005</t>
  </si>
  <si>
    <t xml:space="preserve">David Kim</t>
  </si>
  <si>
    <t xml:space="preserve">22.00</t>
  </si>
  <si>
    <t xml:space="preserve">HR-006</t>
  </si>
  <si>
    <t xml:space="preserve">Lisa Wong</t>
  </si>
  <si>
    <t xml:space="preserve">36.50</t>
  </si>
  <si>
    <t xml:space="preserve">HR-007</t>
  </si>
  <si>
    <t xml:space="preserve">Tom Harris</t>
  </si>
  <si>
    <t xml:space="preserve">HR-008</t>
  </si>
  <si>
    <t xml:space="preserve">Nina Patel</t>
  </si>
  <si>
    <t xml:space="preserve">29.00</t>
  </si>
  <si>
    <t xml:space="preserve">HR-009</t>
  </si>
  <si>
    <t xml:space="preserve">James Wilson</t>
  </si>
  <si>
    <t xml:space="preserve">Support</t>
  </si>
  <si>
    <t xml:space="preserve">18.00</t>
  </si>
  <si>
    <t xml:space="preserve">HR-010</t>
  </si>
  <si>
    <t xml:space="preserve">Chloe Martin</t>
  </si>
  <si>
    <t xml:space="preserve">18.50</t>
  </si>
  <si>
    <t xml:space="preserve">HR-011</t>
  </si>
  <si>
    <t xml:space="preserve">Robert Taylor</t>
  </si>
  <si>
    <t xml:space="preserve">Finance</t>
  </si>
  <si>
    <t xml:space="preserve">40.00</t>
  </si>
  <si>
    <t xml:space="preserve">HR-012</t>
  </si>
  <si>
    <t xml:space="preserve">Maria Garcia</t>
  </si>
  <si>
    <t xml:space="preserve">26.00</t>
  </si>
  <si>
    <t xml:space="preserve">HR-013</t>
  </si>
  <si>
    <t xml:space="preserve">William Brown</t>
  </si>
  <si>
    <t xml:space="preserve">33.00</t>
  </si>
  <si>
    <t xml:space="preserve">HR-014</t>
  </si>
  <si>
    <t xml:space="preserve">Sophia Davis</t>
  </si>
  <si>
    <t xml:space="preserve">31.00</t>
  </si>
  <si>
    <t xml:space="preserve">HR-015</t>
  </si>
  <si>
    <t xml:space="preserve">Daniel Miller</t>
  </si>
  <si>
    <t xml:space="preserve">19.00</t>
  </si>
  <si>
    <t xml:space="preserve">Department Average Hourly Rate</t>
  </si>
  <si>
    <t xml:space="preserve">Avg Hourly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</si>
</sst>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4" min="3" style="0" width="13"/>
    <col collapsed="false" customWidth="true" hidden="false" outlineLevel="0" max="24" min="5" style="0" width="4.5"/>
    <col collapsed="false" customWidth="true" hidden="false" outlineLevel="0" max="25" min="25" style="0" width="16"/>
    <col collapsed="false" customWidth="true" hidden="false" outlineLevel="0" max="26" min="26" style="0" width="15"/>
    <col collapsed="false" customWidth="true" hidden="false" outlineLevel="0" max="28" min="27" style="0" width="13"/>
    <col collapsed="false" customWidth="true" hidden="false" outlineLevel="0" max="29" min="29" style="0" width="18"/>
    <col collapsed="false" customWidth="true" hidden="false" outlineLevel="0" max="30" min="30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8" hidden="false" customHeight="true" outlineLevel="0" collapsed="false">
      <c r="A2" s="3" t="s">
        <v>30</v>
      </c>
      <c r="B2" s="3" t="s">
        <v>31</v>
      </c>
      <c r="C2" s="3" t="s">
        <v>32</v>
      </c>
      <c r="D2" s="4" t="s">
        <v>33</v>
      </c>
      <c r="E2" s="3" t="s">
        <v>34</v>
      </c>
      <c r="F2" s="3" t="s">
        <v>34</v>
      </c>
      <c r="G2" s="3" t="s">
        <v>34</v>
      </c>
      <c r="H2" s="3" t="s">
        <v>34</v>
      </c>
      <c r="I2" s="3" t="s">
        <v>34</v>
      </c>
      <c r="J2" s="3" t="s">
        <v>34</v>
      </c>
      <c r="K2" s="3" t="s">
        <v>34</v>
      </c>
      <c r="L2" s="3" t="s">
        <v>34</v>
      </c>
      <c r="M2" s="3" t="s">
        <v>34</v>
      </c>
      <c r="N2" s="3" t="s">
        <v>34</v>
      </c>
      <c r="O2" s="3" t="s">
        <v>34</v>
      </c>
      <c r="P2" s="3" t="s">
        <v>35</v>
      </c>
      <c r="Q2" s="3" t="s">
        <v>34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3" t="s">
        <v>34</v>
      </c>
      <c r="Y2" s="5" t="n">
        <f aca="false">COUNTIF(E2:X2,"P")</f>
        <v>19</v>
      </c>
      <c r="Z2" s="5" t="n">
        <f aca="false">COUNTIF(E2:X2,"A")</f>
        <v>1</v>
      </c>
      <c r="AA2" s="5" t="n">
        <f aca="false">COUNTIF(E2:X2,"S")</f>
        <v>0</v>
      </c>
      <c r="AB2" s="5" t="n">
        <f aca="false">COUNTIF(E2:X2,"V")</f>
        <v>0</v>
      </c>
      <c r="AC2" s="6" t="n">
        <f aca="false">Y2*8</f>
        <v>152</v>
      </c>
      <c r="AD2" s="4" t="n">
        <f aca="false">Z2*D2</f>
        <v>25</v>
      </c>
    </row>
    <row r="3" customFormat="false" ht="18" hidden="false" customHeight="true" outlineLevel="0" collapsed="false">
      <c r="A3" s="7" t="s">
        <v>36</v>
      </c>
      <c r="B3" s="7" t="s">
        <v>37</v>
      </c>
      <c r="C3" s="7" t="s">
        <v>38</v>
      </c>
      <c r="D3" s="8" t="s">
        <v>39</v>
      </c>
      <c r="E3" s="7" t="s">
        <v>34</v>
      </c>
      <c r="F3" s="7" t="s">
        <v>34</v>
      </c>
      <c r="G3" s="7" t="s">
        <v>34</v>
      </c>
      <c r="H3" s="7" t="s">
        <v>34</v>
      </c>
      <c r="I3" s="7" t="s">
        <v>34</v>
      </c>
      <c r="J3" s="7" t="s">
        <v>40</v>
      </c>
      <c r="K3" s="7" t="s">
        <v>40</v>
      </c>
      <c r="L3" s="7" t="s">
        <v>34</v>
      </c>
      <c r="M3" s="7" t="s">
        <v>34</v>
      </c>
      <c r="N3" s="7" t="s">
        <v>34</v>
      </c>
      <c r="O3" s="7" t="s">
        <v>34</v>
      </c>
      <c r="P3" s="7" t="s">
        <v>34</v>
      </c>
      <c r="Q3" s="7" t="s">
        <v>34</v>
      </c>
      <c r="R3" s="7" t="s">
        <v>34</v>
      </c>
      <c r="S3" s="7" t="s">
        <v>34</v>
      </c>
      <c r="T3" s="7" t="s">
        <v>34</v>
      </c>
      <c r="U3" s="7" t="s">
        <v>34</v>
      </c>
      <c r="V3" s="7" t="s">
        <v>34</v>
      </c>
      <c r="W3" s="7" t="s">
        <v>34</v>
      </c>
      <c r="X3" s="7" t="s">
        <v>34</v>
      </c>
      <c r="Y3" s="9" t="n">
        <f aca="false">COUNTIF(E3:X3,"P")</f>
        <v>18</v>
      </c>
      <c r="Z3" s="9" t="n">
        <f aca="false">COUNTIF(E3:X3,"A")</f>
        <v>0</v>
      </c>
      <c r="AA3" s="9" t="n">
        <f aca="false">COUNTIF(E3:X3,"S")</f>
        <v>2</v>
      </c>
      <c r="AB3" s="9" t="n">
        <f aca="false">COUNTIF(E3:X3,"V")</f>
        <v>0</v>
      </c>
      <c r="AC3" s="10" t="n">
        <f aca="false">Y3*8</f>
        <v>144</v>
      </c>
      <c r="AD3" s="8" t="n">
        <f aca="false">Z3*D3</f>
        <v>0</v>
      </c>
    </row>
    <row r="4" customFormat="false" ht="18" hidden="false" customHeight="true" outlineLevel="0" collapsed="false">
      <c r="A4" s="3" t="s">
        <v>41</v>
      </c>
      <c r="B4" s="3" t="s">
        <v>42</v>
      </c>
      <c r="C4" s="3" t="s">
        <v>43</v>
      </c>
      <c r="D4" s="4" t="s">
        <v>44</v>
      </c>
      <c r="E4" s="3" t="s">
        <v>34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34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34</v>
      </c>
      <c r="W4" s="3" t="s">
        <v>34</v>
      </c>
      <c r="X4" s="3" t="s">
        <v>34</v>
      </c>
      <c r="Y4" s="5" t="n">
        <f aca="false">COUNTIF(E4:X4,"P")</f>
        <v>20</v>
      </c>
      <c r="Z4" s="5" t="n">
        <f aca="false">COUNTIF(E4:X4,"A")</f>
        <v>0</v>
      </c>
      <c r="AA4" s="5" t="n">
        <f aca="false">COUNTIF(E4:X4,"S")</f>
        <v>0</v>
      </c>
      <c r="AB4" s="5" t="n">
        <f aca="false">COUNTIF(E4:X4,"V")</f>
        <v>0</v>
      </c>
      <c r="AC4" s="6" t="n">
        <f aca="false">Y4*8</f>
        <v>160</v>
      </c>
      <c r="AD4" s="4" t="n">
        <f aca="false">Z4*D4</f>
        <v>0</v>
      </c>
    </row>
    <row r="5" customFormat="false" ht="18" hidden="false" customHeight="true" outlineLevel="0" collapsed="false">
      <c r="A5" s="7" t="s">
        <v>45</v>
      </c>
      <c r="B5" s="7" t="s">
        <v>46</v>
      </c>
      <c r="C5" s="7" t="s">
        <v>47</v>
      </c>
      <c r="D5" s="8" t="s">
        <v>48</v>
      </c>
      <c r="E5" s="7" t="s">
        <v>49</v>
      </c>
      <c r="F5" s="7" t="s">
        <v>49</v>
      </c>
      <c r="G5" s="7" t="s">
        <v>49</v>
      </c>
      <c r="H5" s="7" t="s">
        <v>49</v>
      </c>
      <c r="I5" s="7" t="s">
        <v>49</v>
      </c>
      <c r="J5" s="7" t="s">
        <v>34</v>
      </c>
      <c r="K5" s="7" t="s">
        <v>34</v>
      </c>
      <c r="L5" s="7" t="s">
        <v>34</v>
      </c>
      <c r="M5" s="7" t="s">
        <v>34</v>
      </c>
      <c r="N5" s="7" t="s">
        <v>34</v>
      </c>
      <c r="O5" s="7" t="s">
        <v>34</v>
      </c>
      <c r="P5" s="7" t="s">
        <v>34</v>
      </c>
      <c r="Q5" s="7" t="s">
        <v>34</v>
      </c>
      <c r="R5" s="7" t="s">
        <v>34</v>
      </c>
      <c r="S5" s="7" t="s">
        <v>34</v>
      </c>
      <c r="T5" s="7" t="s">
        <v>34</v>
      </c>
      <c r="U5" s="7" t="s">
        <v>34</v>
      </c>
      <c r="V5" s="7" t="s">
        <v>34</v>
      </c>
      <c r="W5" s="7" t="s">
        <v>34</v>
      </c>
      <c r="X5" s="7" t="s">
        <v>34</v>
      </c>
      <c r="Y5" s="9" t="n">
        <f aca="false">COUNTIF(E5:X5,"P")</f>
        <v>15</v>
      </c>
      <c r="Z5" s="9" t="n">
        <f aca="false">COUNTIF(E5:X5,"A")</f>
        <v>0</v>
      </c>
      <c r="AA5" s="9" t="n">
        <f aca="false">COUNTIF(E5:X5,"S")</f>
        <v>0</v>
      </c>
      <c r="AB5" s="9" t="n">
        <f aca="false">COUNTIF(E5:X5,"V")</f>
        <v>5</v>
      </c>
      <c r="AC5" s="10" t="n">
        <f aca="false">Y5*8</f>
        <v>120</v>
      </c>
      <c r="AD5" s="8" t="n">
        <f aca="false">Z5*D5</f>
        <v>0</v>
      </c>
    </row>
    <row r="6" customFormat="false" ht="18" hidden="false" customHeight="true" outlineLevel="0" collapsed="false">
      <c r="A6" s="3" t="s">
        <v>50</v>
      </c>
      <c r="B6" s="3" t="s">
        <v>51</v>
      </c>
      <c r="C6" s="3" t="s">
        <v>32</v>
      </c>
      <c r="D6" s="4" t="s">
        <v>52</v>
      </c>
      <c r="E6" s="3" t="s">
        <v>34</v>
      </c>
      <c r="F6" s="3" t="s">
        <v>34</v>
      </c>
      <c r="G6" s="3" t="s">
        <v>35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34</v>
      </c>
      <c r="X6" s="3" t="s">
        <v>34</v>
      </c>
      <c r="Y6" s="5" t="n">
        <f aca="false">COUNTIF(E6:X6,"P")</f>
        <v>18</v>
      </c>
      <c r="Z6" s="5" t="n">
        <f aca="false">COUNTIF(E6:X6,"A")</f>
        <v>2</v>
      </c>
      <c r="AA6" s="5" t="n">
        <f aca="false">COUNTIF(E6:X6,"S")</f>
        <v>0</v>
      </c>
      <c r="AB6" s="5" t="n">
        <f aca="false">COUNTIF(E6:X6,"V")</f>
        <v>0</v>
      </c>
      <c r="AC6" s="6" t="n">
        <f aca="false">Y6*8</f>
        <v>144</v>
      </c>
      <c r="AD6" s="4" t="n">
        <f aca="false">Z6*D6</f>
        <v>44</v>
      </c>
    </row>
    <row r="7" customFormat="false" ht="18" hidden="false" customHeight="true" outlineLevel="0" collapsed="false">
      <c r="A7" s="7" t="s">
        <v>53</v>
      </c>
      <c r="B7" s="7" t="s">
        <v>54</v>
      </c>
      <c r="C7" s="7" t="s">
        <v>43</v>
      </c>
      <c r="D7" s="8" t="s">
        <v>55</v>
      </c>
      <c r="E7" s="7" t="s">
        <v>34</v>
      </c>
      <c r="F7" s="7" t="s">
        <v>34</v>
      </c>
      <c r="G7" s="7" t="s">
        <v>34</v>
      </c>
      <c r="H7" s="7" t="s">
        <v>34</v>
      </c>
      <c r="I7" s="7" t="s">
        <v>34</v>
      </c>
      <c r="J7" s="7" t="s">
        <v>34</v>
      </c>
      <c r="K7" s="7" t="s">
        <v>34</v>
      </c>
      <c r="L7" s="7" t="s">
        <v>34</v>
      </c>
      <c r="M7" s="7" t="s">
        <v>34</v>
      </c>
      <c r="N7" s="7" t="s">
        <v>34</v>
      </c>
      <c r="O7" s="7" t="s">
        <v>40</v>
      </c>
      <c r="P7" s="7" t="s">
        <v>40</v>
      </c>
      <c r="Q7" s="7" t="s">
        <v>40</v>
      </c>
      <c r="R7" s="7" t="s">
        <v>34</v>
      </c>
      <c r="S7" s="7" t="s">
        <v>34</v>
      </c>
      <c r="T7" s="7" t="s">
        <v>34</v>
      </c>
      <c r="U7" s="7" t="s">
        <v>34</v>
      </c>
      <c r="V7" s="7" t="s">
        <v>34</v>
      </c>
      <c r="W7" s="7" t="s">
        <v>34</v>
      </c>
      <c r="X7" s="7" t="s">
        <v>34</v>
      </c>
      <c r="Y7" s="9" t="n">
        <f aca="false">COUNTIF(E7:X7,"P")</f>
        <v>17</v>
      </c>
      <c r="Z7" s="9" t="n">
        <f aca="false">COUNTIF(E7:X7,"A")</f>
        <v>0</v>
      </c>
      <c r="AA7" s="9" t="n">
        <f aca="false">COUNTIF(E7:X7,"S")</f>
        <v>3</v>
      </c>
      <c r="AB7" s="9" t="n">
        <f aca="false">COUNTIF(E7:X7,"V")</f>
        <v>0</v>
      </c>
      <c r="AC7" s="10" t="n">
        <f aca="false">Y7*8</f>
        <v>136</v>
      </c>
      <c r="AD7" s="8" t="n">
        <f aca="false">Z7*D7</f>
        <v>0</v>
      </c>
    </row>
    <row r="8" customFormat="false" ht="18" hidden="false" customHeight="true" outlineLevel="0" collapsed="false">
      <c r="A8" s="3" t="s">
        <v>56</v>
      </c>
      <c r="B8" s="3" t="s">
        <v>57</v>
      </c>
      <c r="C8" s="3" t="s">
        <v>32</v>
      </c>
      <c r="D8" s="4" t="s">
        <v>33</v>
      </c>
      <c r="E8" s="3" t="s">
        <v>34</v>
      </c>
      <c r="F8" s="3" t="s">
        <v>34</v>
      </c>
      <c r="G8" s="3" t="s">
        <v>34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35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34</v>
      </c>
      <c r="T8" s="3" t="s">
        <v>34</v>
      </c>
      <c r="U8" s="3" t="s">
        <v>35</v>
      </c>
      <c r="V8" s="3" t="s">
        <v>34</v>
      </c>
      <c r="W8" s="3" t="s">
        <v>34</v>
      </c>
      <c r="X8" s="3" t="s">
        <v>34</v>
      </c>
      <c r="Y8" s="5" t="n">
        <f aca="false">COUNTIF(E8:X8,"P")</f>
        <v>18</v>
      </c>
      <c r="Z8" s="5" t="n">
        <f aca="false">COUNTIF(E8:X8,"A")</f>
        <v>2</v>
      </c>
      <c r="AA8" s="5" t="n">
        <f aca="false">COUNTIF(E8:X8,"S")</f>
        <v>0</v>
      </c>
      <c r="AB8" s="5" t="n">
        <f aca="false">COUNTIF(E8:X8,"V")</f>
        <v>0</v>
      </c>
      <c r="AC8" s="6" t="n">
        <f aca="false">Y8*8</f>
        <v>144</v>
      </c>
      <c r="AD8" s="4" t="n">
        <f aca="false">Z8*D8</f>
        <v>50</v>
      </c>
    </row>
    <row r="9" customFormat="false" ht="18" hidden="false" customHeight="true" outlineLevel="0" collapsed="false">
      <c r="A9" s="7" t="s">
        <v>58</v>
      </c>
      <c r="B9" s="7" t="s">
        <v>59</v>
      </c>
      <c r="C9" s="7" t="s">
        <v>38</v>
      </c>
      <c r="D9" s="8" t="s">
        <v>60</v>
      </c>
      <c r="E9" s="7" t="s">
        <v>34</v>
      </c>
      <c r="F9" s="7" t="s">
        <v>34</v>
      </c>
      <c r="G9" s="7" t="s">
        <v>34</v>
      </c>
      <c r="H9" s="7" t="s">
        <v>34</v>
      </c>
      <c r="I9" s="7" t="s">
        <v>34</v>
      </c>
      <c r="J9" s="7" t="s">
        <v>34</v>
      </c>
      <c r="K9" s="7" t="s">
        <v>34</v>
      </c>
      <c r="L9" s="7" t="s">
        <v>34</v>
      </c>
      <c r="M9" s="7" t="s">
        <v>34</v>
      </c>
      <c r="N9" s="7" t="s">
        <v>34</v>
      </c>
      <c r="O9" s="7" t="s">
        <v>34</v>
      </c>
      <c r="P9" s="7" t="s">
        <v>34</v>
      </c>
      <c r="Q9" s="7" t="s">
        <v>34</v>
      </c>
      <c r="R9" s="7" t="s">
        <v>34</v>
      </c>
      <c r="S9" s="7" t="s">
        <v>34</v>
      </c>
      <c r="T9" s="7" t="s">
        <v>34</v>
      </c>
      <c r="U9" s="7" t="s">
        <v>34</v>
      </c>
      <c r="V9" s="7" t="s">
        <v>34</v>
      </c>
      <c r="W9" s="7" t="s">
        <v>34</v>
      </c>
      <c r="X9" s="7" t="s">
        <v>34</v>
      </c>
      <c r="Y9" s="9" t="n">
        <f aca="false">COUNTIF(E9:X9,"P")</f>
        <v>20</v>
      </c>
      <c r="Z9" s="9" t="n">
        <f aca="false">COUNTIF(E9:X9,"A")</f>
        <v>0</v>
      </c>
      <c r="AA9" s="9" t="n">
        <f aca="false">COUNTIF(E9:X9,"S")</f>
        <v>0</v>
      </c>
      <c r="AB9" s="9" t="n">
        <f aca="false">COUNTIF(E9:X9,"V")</f>
        <v>0</v>
      </c>
      <c r="AC9" s="10" t="n">
        <f aca="false">Y9*8</f>
        <v>160</v>
      </c>
      <c r="AD9" s="8" t="n">
        <f aca="false">Z9*D9</f>
        <v>0</v>
      </c>
    </row>
    <row r="10" customFormat="false" ht="18" hidden="false" customHeight="true" outlineLevel="0" collapsed="false">
      <c r="A10" s="3" t="s">
        <v>61</v>
      </c>
      <c r="B10" s="3" t="s">
        <v>62</v>
      </c>
      <c r="C10" s="3" t="s">
        <v>63</v>
      </c>
      <c r="D10" s="4" t="s">
        <v>64</v>
      </c>
      <c r="E10" s="3" t="s">
        <v>34</v>
      </c>
      <c r="F10" s="3" t="s">
        <v>34</v>
      </c>
      <c r="G10" s="3" t="s">
        <v>34</v>
      </c>
      <c r="H10" s="3" t="s">
        <v>34</v>
      </c>
      <c r="I10" s="3" t="s">
        <v>35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35</v>
      </c>
      <c r="U10" s="3" t="s">
        <v>34</v>
      </c>
      <c r="V10" s="3" t="s">
        <v>34</v>
      </c>
      <c r="W10" s="3" t="s">
        <v>34</v>
      </c>
      <c r="X10" s="3" t="s">
        <v>34</v>
      </c>
      <c r="Y10" s="5" t="n">
        <f aca="false">COUNTIF(E10:X10,"P")</f>
        <v>18</v>
      </c>
      <c r="Z10" s="5" t="n">
        <f aca="false">COUNTIF(E10:X10,"A")</f>
        <v>2</v>
      </c>
      <c r="AA10" s="5" t="n">
        <f aca="false">COUNTIF(E10:X10,"S")</f>
        <v>0</v>
      </c>
      <c r="AB10" s="5" t="n">
        <f aca="false">COUNTIF(E10:X10,"V")</f>
        <v>0</v>
      </c>
      <c r="AC10" s="6" t="n">
        <f aca="false">Y10*8</f>
        <v>144</v>
      </c>
      <c r="AD10" s="4" t="n">
        <f aca="false">Z10*D10</f>
        <v>36</v>
      </c>
    </row>
    <row r="11" customFormat="false" ht="18" hidden="false" customHeight="true" outlineLevel="0" collapsed="false">
      <c r="A11" s="7" t="s">
        <v>65</v>
      </c>
      <c r="B11" s="7" t="s">
        <v>66</v>
      </c>
      <c r="C11" s="7" t="s">
        <v>63</v>
      </c>
      <c r="D11" s="8" t="s">
        <v>67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49</v>
      </c>
      <c r="P11" s="7" t="s">
        <v>49</v>
      </c>
      <c r="Q11" s="7" t="s">
        <v>49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9" t="n">
        <f aca="false">COUNTIF(E11:X11,"P")</f>
        <v>17</v>
      </c>
      <c r="Z11" s="9" t="n">
        <f aca="false">COUNTIF(E11:X11,"A")</f>
        <v>0</v>
      </c>
      <c r="AA11" s="9" t="n">
        <f aca="false">COUNTIF(E11:X11,"S")</f>
        <v>0</v>
      </c>
      <c r="AB11" s="9" t="n">
        <f aca="false">COUNTIF(E11:X11,"V")</f>
        <v>3</v>
      </c>
      <c r="AC11" s="10" t="n">
        <f aca="false">Y11*8</f>
        <v>136</v>
      </c>
      <c r="AD11" s="8" t="n">
        <f aca="false">Z11*D11</f>
        <v>0</v>
      </c>
    </row>
    <row r="12" customFormat="false" ht="18" hidden="false" customHeight="true" outlineLevel="0" collapsed="false">
      <c r="A12" s="3" t="s">
        <v>68</v>
      </c>
      <c r="B12" s="3" t="s">
        <v>69</v>
      </c>
      <c r="C12" s="3" t="s">
        <v>70</v>
      </c>
      <c r="D12" s="4" t="s">
        <v>71</v>
      </c>
      <c r="E12" s="3" t="s">
        <v>34</v>
      </c>
      <c r="F12" s="3" t="s">
        <v>34</v>
      </c>
      <c r="G12" s="3" t="s">
        <v>34</v>
      </c>
      <c r="H12" s="3" t="s">
        <v>34</v>
      </c>
      <c r="I12" s="3" t="s">
        <v>34</v>
      </c>
      <c r="J12" s="3" t="s">
        <v>34</v>
      </c>
      <c r="K12" s="3" t="s">
        <v>34</v>
      </c>
      <c r="L12" s="3" t="s">
        <v>34</v>
      </c>
      <c r="M12" s="3" t="s">
        <v>34</v>
      </c>
      <c r="N12" s="3" t="s">
        <v>34</v>
      </c>
      <c r="O12" s="3" t="s">
        <v>34</v>
      </c>
      <c r="P12" s="3" t="s">
        <v>34</v>
      </c>
      <c r="Q12" s="3" t="s">
        <v>34</v>
      </c>
      <c r="R12" s="3" t="s">
        <v>34</v>
      </c>
      <c r="S12" s="3" t="s">
        <v>34</v>
      </c>
      <c r="T12" s="3" t="s">
        <v>34</v>
      </c>
      <c r="U12" s="3" t="s">
        <v>34</v>
      </c>
      <c r="V12" s="3" t="s">
        <v>34</v>
      </c>
      <c r="W12" s="3" t="s">
        <v>34</v>
      </c>
      <c r="X12" s="3" t="s">
        <v>34</v>
      </c>
      <c r="Y12" s="5" t="n">
        <f aca="false">COUNTIF(E12:X12,"P")</f>
        <v>20</v>
      </c>
      <c r="Z12" s="5" t="n">
        <f aca="false">COUNTIF(E12:X12,"A")</f>
        <v>0</v>
      </c>
      <c r="AA12" s="5" t="n">
        <f aca="false">COUNTIF(E12:X12,"S")</f>
        <v>0</v>
      </c>
      <c r="AB12" s="5" t="n">
        <f aca="false">COUNTIF(E12:X12,"V")</f>
        <v>0</v>
      </c>
      <c r="AC12" s="6" t="n">
        <f aca="false">Y12*8</f>
        <v>160</v>
      </c>
      <c r="AD12" s="4" t="n">
        <f aca="false">Z12*D12</f>
        <v>0</v>
      </c>
    </row>
    <row r="13" customFormat="false" ht="18" hidden="false" customHeight="true" outlineLevel="0" collapsed="false">
      <c r="A13" s="7" t="s">
        <v>72</v>
      </c>
      <c r="B13" s="7" t="s">
        <v>73</v>
      </c>
      <c r="C13" s="7" t="s">
        <v>32</v>
      </c>
      <c r="D13" s="8" t="s">
        <v>74</v>
      </c>
      <c r="E13" s="7" t="s">
        <v>34</v>
      </c>
      <c r="F13" s="7" t="s">
        <v>34</v>
      </c>
      <c r="G13" s="7" t="s">
        <v>34</v>
      </c>
      <c r="H13" s="7" t="s">
        <v>34</v>
      </c>
      <c r="I13" s="7" t="s">
        <v>34</v>
      </c>
      <c r="J13" s="7" t="s">
        <v>40</v>
      </c>
      <c r="K13" s="7" t="s">
        <v>34</v>
      </c>
      <c r="L13" s="7" t="s">
        <v>34</v>
      </c>
      <c r="M13" s="7" t="s">
        <v>34</v>
      </c>
      <c r="N13" s="7" t="s">
        <v>34</v>
      </c>
      <c r="O13" s="7" t="s">
        <v>34</v>
      </c>
      <c r="P13" s="7" t="s">
        <v>34</v>
      </c>
      <c r="Q13" s="7" t="s">
        <v>34</v>
      </c>
      <c r="R13" s="7" t="s">
        <v>34</v>
      </c>
      <c r="S13" s="7" t="s">
        <v>34</v>
      </c>
      <c r="T13" s="7" t="s">
        <v>34</v>
      </c>
      <c r="U13" s="7" t="s">
        <v>34</v>
      </c>
      <c r="V13" s="7" t="s">
        <v>34</v>
      </c>
      <c r="W13" s="7" t="s">
        <v>34</v>
      </c>
      <c r="X13" s="7" t="s">
        <v>34</v>
      </c>
      <c r="Y13" s="9" t="n">
        <f aca="false">COUNTIF(E13:X13,"P")</f>
        <v>19</v>
      </c>
      <c r="Z13" s="9" t="n">
        <f aca="false">COUNTIF(E13:X13,"A")</f>
        <v>0</v>
      </c>
      <c r="AA13" s="9" t="n">
        <f aca="false">COUNTIF(E13:X13,"S")</f>
        <v>1</v>
      </c>
      <c r="AB13" s="9" t="n">
        <f aca="false">COUNTIF(E13:X13,"V")</f>
        <v>0</v>
      </c>
      <c r="AC13" s="10" t="n">
        <f aca="false">Y13*8</f>
        <v>152</v>
      </c>
      <c r="AD13" s="8" t="n">
        <f aca="false">Z13*D13</f>
        <v>0</v>
      </c>
    </row>
    <row r="14" customFormat="false" ht="18" hidden="false" customHeight="true" outlineLevel="0" collapsed="false">
      <c r="A14" s="3" t="s">
        <v>75</v>
      </c>
      <c r="B14" s="3" t="s">
        <v>76</v>
      </c>
      <c r="C14" s="3" t="s">
        <v>43</v>
      </c>
      <c r="D14" s="4" t="s">
        <v>77</v>
      </c>
      <c r="E14" s="3" t="s">
        <v>35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34</v>
      </c>
      <c r="V14" s="3" t="s">
        <v>34</v>
      </c>
      <c r="W14" s="3" t="s">
        <v>34</v>
      </c>
      <c r="X14" s="3" t="s">
        <v>34</v>
      </c>
      <c r="Y14" s="5" t="n">
        <f aca="false">COUNTIF(E14:X14,"P")</f>
        <v>19</v>
      </c>
      <c r="Z14" s="5" t="n">
        <f aca="false">COUNTIF(E14:X14,"A")</f>
        <v>1</v>
      </c>
      <c r="AA14" s="5" t="n">
        <f aca="false">COUNTIF(E14:X14,"S")</f>
        <v>0</v>
      </c>
      <c r="AB14" s="5" t="n">
        <f aca="false">COUNTIF(E14:X14,"V")</f>
        <v>0</v>
      </c>
      <c r="AC14" s="6" t="n">
        <f aca="false">Y14*8</f>
        <v>152</v>
      </c>
      <c r="AD14" s="4" t="n">
        <f aca="false">Z14*D14</f>
        <v>33</v>
      </c>
    </row>
    <row r="15" customFormat="false" ht="18" hidden="false" customHeight="true" outlineLevel="0" collapsed="false">
      <c r="A15" s="7" t="s">
        <v>78</v>
      </c>
      <c r="B15" s="7" t="s">
        <v>79</v>
      </c>
      <c r="C15" s="7" t="s">
        <v>47</v>
      </c>
      <c r="D15" s="8" t="s">
        <v>80</v>
      </c>
      <c r="E15" s="7" t="s">
        <v>34</v>
      </c>
      <c r="F15" s="7" t="s">
        <v>34</v>
      </c>
      <c r="G15" s="7" t="s">
        <v>34</v>
      </c>
      <c r="H15" s="7" t="s">
        <v>34</v>
      </c>
      <c r="I15" s="7" t="s">
        <v>34</v>
      </c>
      <c r="J15" s="7" t="s">
        <v>34</v>
      </c>
      <c r="K15" s="7" t="s">
        <v>34</v>
      </c>
      <c r="L15" s="7" t="s">
        <v>34</v>
      </c>
      <c r="M15" s="7" t="s">
        <v>34</v>
      </c>
      <c r="N15" s="7" t="s">
        <v>34</v>
      </c>
      <c r="O15" s="7" t="s">
        <v>34</v>
      </c>
      <c r="P15" s="7" t="s">
        <v>34</v>
      </c>
      <c r="Q15" s="7" t="s">
        <v>34</v>
      </c>
      <c r="R15" s="7" t="s">
        <v>34</v>
      </c>
      <c r="S15" s="7" t="s">
        <v>34</v>
      </c>
      <c r="T15" s="7" t="s">
        <v>34</v>
      </c>
      <c r="U15" s="7" t="s">
        <v>34</v>
      </c>
      <c r="V15" s="7" t="s">
        <v>34</v>
      </c>
      <c r="W15" s="7" t="s">
        <v>34</v>
      </c>
      <c r="X15" s="7" t="s">
        <v>34</v>
      </c>
      <c r="Y15" s="9" t="n">
        <f aca="false">COUNTIF(E15:X15,"P")</f>
        <v>20</v>
      </c>
      <c r="Z15" s="9" t="n">
        <f aca="false">COUNTIF(E15:X15,"A")</f>
        <v>0</v>
      </c>
      <c r="AA15" s="9" t="n">
        <f aca="false">COUNTIF(E15:X15,"S")</f>
        <v>0</v>
      </c>
      <c r="AB15" s="9" t="n">
        <f aca="false">COUNTIF(E15:X15,"V")</f>
        <v>0</v>
      </c>
      <c r="AC15" s="10" t="n">
        <f aca="false">Y15*8</f>
        <v>160</v>
      </c>
      <c r="AD15" s="8" t="n">
        <f aca="false">Z15*D15</f>
        <v>0</v>
      </c>
    </row>
    <row r="16" customFormat="false" ht="18" hidden="false" customHeight="true" outlineLevel="0" collapsed="false">
      <c r="A16" s="3" t="s">
        <v>81</v>
      </c>
      <c r="B16" s="3" t="s">
        <v>82</v>
      </c>
      <c r="C16" s="3" t="s">
        <v>63</v>
      </c>
      <c r="D16" s="4" t="s">
        <v>83</v>
      </c>
      <c r="E16" s="3" t="s">
        <v>34</v>
      </c>
      <c r="F16" s="3" t="s">
        <v>34</v>
      </c>
      <c r="G16" s="3" t="s">
        <v>34</v>
      </c>
      <c r="H16" s="3" t="s">
        <v>34</v>
      </c>
      <c r="I16" s="3" t="s">
        <v>34</v>
      </c>
      <c r="J16" s="3" t="s">
        <v>34</v>
      </c>
      <c r="K16" s="3" t="s">
        <v>35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34</v>
      </c>
      <c r="T16" s="3" t="s">
        <v>34</v>
      </c>
      <c r="U16" s="3" t="s">
        <v>34</v>
      </c>
      <c r="V16" s="3" t="s">
        <v>34</v>
      </c>
      <c r="W16" s="3" t="s">
        <v>34</v>
      </c>
      <c r="X16" s="3" t="s">
        <v>35</v>
      </c>
      <c r="Y16" s="5" t="n">
        <f aca="false">COUNTIF(E16:X16,"P")</f>
        <v>18</v>
      </c>
      <c r="Z16" s="5" t="n">
        <f aca="false">COUNTIF(E16:X16,"A")</f>
        <v>2</v>
      </c>
      <c r="AA16" s="5" t="n">
        <f aca="false">COUNTIF(E16:X16,"S")</f>
        <v>0</v>
      </c>
      <c r="AB16" s="5" t="n">
        <f aca="false">COUNTIF(E16:X16,"V")</f>
        <v>0</v>
      </c>
      <c r="AC16" s="6" t="n">
        <f aca="false">Y16*8</f>
        <v>144</v>
      </c>
      <c r="AD16" s="4" t="n">
        <f aca="false">Z16*D16</f>
        <v>38</v>
      </c>
    </row>
    <row r="19" customFormat="false" ht="23.85" hidden="false" customHeight="true" outlineLevel="0" collapsed="false">
      <c r="A19" s="11" t="s">
        <v>84</v>
      </c>
      <c r="B19" s="11"/>
    </row>
    <row r="20" customFormat="false" ht="23.85" hidden="false" customHeight="false" outlineLevel="0" collapsed="false">
      <c r="A20" s="2" t="s">
        <v>2</v>
      </c>
      <c r="B20" s="2" t="s">
        <v>85</v>
      </c>
    </row>
    <row r="21" customFormat="false" ht="15" hidden="false" customHeight="false" outlineLevel="0" collapsed="false">
      <c r="A21" s="12" t="s">
        <v>70</v>
      </c>
      <c r="B21" s="4" t="str">
        <f aca="false">IFERROR(AVERAGEIF($C$2:$C$16,A21,$D$2:$D$16),"-")</f>
        <v>-</v>
      </c>
    </row>
    <row r="22" customFormat="false" ht="15" hidden="false" customHeight="false" outlineLevel="0" collapsed="false">
      <c r="A22" s="13" t="s">
        <v>47</v>
      </c>
      <c r="B22" s="8" t="str">
        <f aca="false">IFERROR(AVERAGEIF($C$2:$C$16,A22,$D$2:$D$16),"-")</f>
        <v>-</v>
      </c>
    </row>
    <row r="23" customFormat="false" ht="15" hidden="false" customHeight="false" outlineLevel="0" collapsed="false">
      <c r="A23" s="12" t="s">
        <v>43</v>
      </c>
      <c r="B23" s="4" t="str">
        <f aca="false">IFERROR(AVERAGEIF($C$2:$C$16,A23,$D$2:$D$16),"-")</f>
        <v>-</v>
      </c>
    </row>
    <row r="24" customFormat="false" ht="15" hidden="false" customHeight="false" outlineLevel="0" collapsed="false">
      <c r="A24" s="13" t="s">
        <v>38</v>
      </c>
      <c r="B24" s="8" t="str">
        <f aca="false">IFERROR(AVERAGEIF($C$2:$C$16,A24,$D$2:$D$16),"-")</f>
        <v>-</v>
      </c>
    </row>
    <row r="25" customFormat="false" ht="15" hidden="false" customHeight="false" outlineLevel="0" collapsed="false">
      <c r="A25" s="12" t="s">
        <v>32</v>
      </c>
      <c r="B25" s="4" t="str">
        <f aca="false">IFERROR(AVERAGEIF($C$2:$C$16,A25,$D$2:$D$16),"-")</f>
        <v>-</v>
      </c>
    </row>
    <row r="26" customFormat="false" ht="15" hidden="false" customHeight="false" outlineLevel="0" collapsed="false">
      <c r="A26" s="13" t="s">
        <v>63</v>
      </c>
      <c r="B26" s="8" t="str">
        <f aca="false">IFERROR(AVERAGEIF($C$2:$C$16,A26,$D$2:$D$16),"-")</f>
        <v>-</v>
      </c>
    </row>
  </sheetData>
  <mergeCells count="1">
    <mergeCell ref="A19:B19"/>
  </mergeCells>
  <conditionalFormatting sqref="AD2:AD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2026-05-25T17:58:07Z</dcterms:created>
  <dc:creator>openpyxl</dc:creator>
  <dc:description/>
  <dc:language>en-US</dc:language>
  <cp:lastModifiedBy/>
  <dcterms:modified xsi:type="dcterms:W3CDTF">2026-05-26T05:01:42Z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