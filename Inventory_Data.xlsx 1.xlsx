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6" customWidth="1" min="8" max="8"/>
    <col width="16" customWidth="1" min="9" max="9"/>
    <col width="18" customWidth="1" min="11" max="11"/>
    <col width="25" customWidth="1" min="12" max="12"/>
  </cols>
  <sheetData>
    <row r="1">
      <c r="A1" s="2" t="inlineStr">
        <is>
          <t>SKU</t>
        </is>
      </c>
      <c r="B1" s="2" t="inlineStr">
        <is>
          <t>ProductName</t>
        </is>
      </c>
      <c r="C1" s="2" t="inlineStr">
        <is>
          <t>Category</t>
        </is>
      </c>
      <c r="D1" s="2" t="inlineStr">
        <is>
          <t>CostPrice</t>
        </is>
      </c>
      <c r="E1" s="2" t="inlineStr">
        <is>
          <t>SellingPrice</t>
        </is>
      </c>
      <c r="F1" s="2" t="inlineStr">
        <is>
          <t>StockLevel</t>
        </is>
      </c>
      <c r="G1" s="2" t="inlineStr">
        <is>
          <t>ReorderPoint</t>
        </is>
      </c>
      <c r="H1" s="2" t="inlineStr">
        <is>
          <t>Profit Margin %</t>
        </is>
      </c>
      <c r="I1" s="2" t="inlineStr">
        <is>
          <t>Total Retail Value</t>
        </is>
      </c>
      <c r="K1" s="3" t="inlineStr">
        <is>
          <t>SEARCH DASHBOARD</t>
        </is>
      </c>
    </row>
    <row r="2">
      <c r="A2" t="inlineStr">
        <is>
          <t>SKU-1001</t>
        </is>
      </c>
      <c r="B2" t="inlineStr">
        <is>
          <t>Mechanical Keyboard - Blue Switch</t>
        </is>
      </c>
      <c r="C2" t="inlineStr">
        <is>
          <t>Electronics</t>
        </is>
      </c>
      <c r="D2" t="n">
        <v>45</v>
      </c>
      <c r="E2" t="n">
        <v>89.98999999999999</v>
      </c>
      <c r="F2" t="n">
        <v>14</v>
      </c>
      <c r="G2" t="n">
        <v>15</v>
      </c>
      <c r="H2" s="4">
        <f>(E2-D2)/E2</f>
        <v/>
      </c>
      <c r="I2" s="5">
        <f>E2*F2</f>
        <v/>
      </c>
    </row>
    <row r="3">
      <c r="A3" t="inlineStr">
        <is>
          <t>SKU-1002</t>
        </is>
      </c>
      <c r="B3" t="inlineStr">
        <is>
          <t>Mechanical Keyboard - Red Switch</t>
        </is>
      </c>
      <c r="C3" t="inlineStr">
        <is>
          <t>Electronics</t>
        </is>
      </c>
      <c r="D3" t="n">
        <v>45</v>
      </c>
      <c r="E3" t="n">
        <v>89.98999999999999</v>
      </c>
      <c r="F3" t="n">
        <v>25</v>
      </c>
      <c r="G3" t="n">
        <v>15</v>
      </c>
      <c r="H3" s="4">
        <f>(E3-D3)/E3</f>
        <v/>
      </c>
      <c r="I3" s="5">
        <f>E3*F3</f>
        <v/>
      </c>
      <c r="K3" s="6" t="inlineStr">
        <is>
          <t>Select SKU:</t>
        </is>
      </c>
      <c r="L3" s="7" t="n"/>
    </row>
    <row r="4">
      <c r="A4" t="inlineStr">
        <is>
          <t>SKU-1003</t>
        </is>
      </c>
      <c r="B4" t="inlineStr">
        <is>
          <t>Wireless Mouse - Ergonomic</t>
        </is>
      </c>
      <c r="C4" t="inlineStr">
        <is>
          <t>Electronics</t>
        </is>
      </c>
      <c r="D4" t="n">
        <v>15.5</v>
      </c>
      <c r="E4" t="n">
        <v>35</v>
      </c>
      <c r="F4" t="n">
        <v>8</v>
      </c>
      <c r="G4" t="n">
        <v>20</v>
      </c>
      <c r="H4" s="4">
        <f>(E4-D4)/E4</f>
        <v/>
      </c>
      <c r="I4" s="5">
        <f>E4*F4</f>
        <v/>
      </c>
      <c r="K4" s="6" t="inlineStr">
        <is>
          <t>Product Name:</t>
        </is>
      </c>
      <c r="L4" s="8">
        <f>IFERROR(VLOOKUP(L3,$A$2:$I$21,2,FALSE),"N/A")</f>
        <v/>
      </c>
    </row>
    <row r="5">
      <c r="A5" t="inlineStr">
        <is>
          <t>SKU-1004</t>
        </is>
      </c>
      <c r="B5" t="inlineStr">
        <is>
          <t>USB-C Hub 7-in-1</t>
        </is>
      </c>
      <c r="C5" t="inlineStr">
        <is>
          <t>Electronics</t>
        </is>
      </c>
      <c r="D5" t="n">
        <v>12</v>
      </c>
      <c r="E5" t="n">
        <v>29.99</v>
      </c>
      <c r="F5" t="n">
        <v>42</v>
      </c>
      <c r="G5" t="n">
        <v>20</v>
      </c>
      <c r="H5" s="4">
        <f>(E5-D5)/E5</f>
        <v/>
      </c>
      <c r="I5" s="5">
        <f>E5*F5</f>
        <v/>
      </c>
      <c r="K5" s="6" t="inlineStr">
        <is>
          <t>Stock Level:</t>
        </is>
      </c>
      <c r="L5" s="9">
        <f>IFERROR(VLOOKUP(L3,$A$2:$I$21,6,FALSE),"N/A")</f>
        <v/>
      </c>
    </row>
    <row r="6">
      <c r="A6" t="inlineStr">
        <is>
          <t>SKU-1005</t>
        </is>
      </c>
      <c r="B6" t="inlineStr">
        <is>
          <t>Monitor Stand - Wood</t>
        </is>
      </c>
      <c r="C6" t="inlineStr">
        <is>
          <t>Office</t>
        </is>
      </c>
      <c r="D6" t="n">
        <v>22</v>
      </c>
      <c r="E6" t="n">
        <v>49.99</v>
      </c>
      <c r="F6" t="n">
        <v>5</v>
      </c>
      <c r="G6" t="n">
        <v>10</v>
      </c>
      <c r="H6" s="4">
        <f>(E6-D6)/E6</f>
        <v/>
      </c>
      <c r="I6" s="5">
        <f>E6*F6</f>
        <v/>
      </c>
      <c r="K6" s="6" t="inlineStr">
        <is>
          <t>Profit Margin %:</t>
        </is>
      </c>
      <c r="L6" s="10">
        <f>IFERROR(VLOOKUP(L3,$A$2:$I$21,8,FALSE),"N/A")</f>
        <v/>
      </c>
    </row>
    <row r="7">
      <c r="A7" t="inlineStr">
        <is>
          <t>SKU-1006</t>
        </is>
      </c>
      <c r="B7" t="inlineStr">
        <is>
          <t>Monitor Stand - Metal</t>
        </is>
      </c>
      <c r="C7" t="inlineStr">
        <is>
          <t>Office</t>
        </is>
      </c>
      <c r="D7" t="n">
        <v>25</v>
      </c>
      <c r="E7" t="n">
        <v>55</v>
      </c>
      <c r="F7" t="n">
        <v>18</v>
      </c>
      <c r="G7" t="n">
        <v>10</v>
      </c>
      <c r="H7" s="4">
        <f>(E7-D7)/E7</f>
        <v/>
      </c>
      <c r="I7" s="5">
        <f>E7*F7</f>
        <v/>
      </c>
    </row>
    <row r="8">
      <c r="A8" t="inlineStr">
        <is>
          <t>SKU-1007</t>
        </is>
      </c>
      <c r="B8" t="inlineStr">
        <is>
          <t>Desk Pad - Leather</t>
        </is>
      </c>
      <c r="C8" t="inlineStr">
        <is>
          <t>Office</t>
        </is>
      </c>
      <c r="D8" t="n">
        <v>18</v>
      </c>
      <c r="E8" t="n">
        <v>39.99</v>
      </c>
      <c r="F8" t="n">
        <v>50</v>
      </c>
      <c r="G8" t="n">
        <v>25</v>
      </c>
      <c r="H8" s="4">
        <f>(E8-D8)/E8</f>
        <v/>
      </c>
      <c r="I8" s="5">
        <f>E8*F8</f>
        <v/>
      </c>
    </row>
    <row r="9">
      <c r="A9" t="inlineStr">
        <is>
          <t>SKU-1008</t>
        </is>
      </c>
      <c r="B9" t="inlineStr">
        <is>
          <t>Desk Pad - Felt</t>
        </is>
      </c>
      <c r="C9" t="inlineStr">
        <is>
          <t>Office</t>
        </is>
      </c>
      <c r="D9" t="n">
        <v>10</v>
      </c>
      <c r="E9" t="n">
        <v>24.99</v>
      </c>
      <c r="F9" t="n">
        <v>12</v>
      </c>
      <c r="G9" t="n">
        <v>25</v>
      </c>
      <c r="H9" s="4">
        <f>(E9-D9)/E9</f>
        <v/>
      </c>
      <c r="I9" s="5">
        <f>E9*F9</f>
        <v/>
      </c>
    </row>
    <row r="10">
      <c r="A10" t="inlineStr">
        <is>
          <t>SKU-1009</t>
        </is>
      </c>
      <c r="B10" t="inlineStr">
        <is>
          <t>Webcam 1080p</t>
        </is>
      </c>
      <c r="C10" t="inlineStr">
        <is>
          <t>Electronics</t>
        </is>
      </c>
      <c r="D10" t="n">
        <v>28</v>
      </c>
      <c r="E10" t="n">
        <v>65</v>
      </c>
      <c r="F10" t="n">
        <v>30</v>
      </c>
      <c r="G10" t="n">
        <v>15</v>
      </c>
      <c r="H10" s="4">
        <f>(E10-D10)/E10</f>
        <v/>
      </c>
      <c r="I10" s="5">
        <f>E10*F10</f>
        <v/>
      </c>
    </row>
    <row r="11">
      <c r="A11" t="inlineStr">
        <is>
          <t>SKU-1010</t>
        </is>
      </c>
      <c r="B11" t="inlineStr">
        <is>
          <t>Webcam 4K</t>
        </is>
      </c>
      <c r="C11" t="inlineStr">
        <is>
          <t>Electronics</t>
        </is>
      </c>
      <c r="D11" t="n">
        <v>55</v>
      </c>
      <c r="E11" t="n">
        <v>129.99</v>
      </c>
      <c r="F11" t="n">
        <v>4</v>
      </c>
      <c r="G11" t="n">
        <v>10</v>
      </c>
      <c r="H11" s="4">
        <f>(E11-D11)/E11</f>
        <v/>
      </c>
      <c r="I11" s="5">
        <f>E11*F11</f>
        <v/>
      </c>
    </row>
    <row r="12">
      <c r="A12" t="inlineStr">
        <is>
          <t>SKU-1011</t>
        </is>
      </c>
      <c r="B12" t="inlineStr">
        <is>
          <t>Ring Light 10 inch</t>
        </is>
      </c>
      <c r="C12" t="inlineStr">
        <is>
          <t>Accessories</t>
        </is>
      </c>
      <c r="D12" t="n">
        <v>15</v>
      </c>
      <c r="E12" t="n">
        <v>34.99</v>
      </c>
      <c r="F12" t="n">
        <v>22</v>
      </c>
      <c r="G12" t="n">
        <v>15</v>
      </c>
      <c r="H12" s="4">
        <f>(E12-D12)/E12</f>
        <v/>
      </c>
      <c r="I12" s="5">
        <f>E12*F12</f>
        <v/>
      </c>
    </row>
    <row r="13">
      <c r="A13" t="inlineStr">
        <is>
          <t>SKU-1012</t>
        </is>
      </c>
      <c r="B13" t="inlineStr">
        <is>
          <t>Microphone - Condenser</t>
        </is>
      </c>
      <c r="C13" t="inlineStr">
        <is>
          <t>Electronics</t>
        </is>
      </c>
      <c r="D13" t="n">
        <v>40</v>
      </c>
      <c r="E13" t="n">
        <v>99.98999999999999</v>
      </c>
      <c r="F13" t="n">
        <v>11</v>
      </c>
      <c r="G13" t="n">
        <v>10</v>
      </c>
      <c r="H13" s="4">
        <f>(E13-D13)/E13</f>
        <v/>
      </c>
      <c r="I13" s="5">
        <f>E13*F13</f>
        <v/>
      </c>
    </row>
    <row r="14">
      <c r="A14" t="inlineStr">
        <is>
          <t>SKU-1013</t>
        </is>
      </c>
      <c r="B14" t="inlineStr">
        <is>
          <t>Microphone Boom Arm</t>
        </is>
      </c>
      <c r="C14" t="inlineStr">
        <is>
          <t>Accessories</t>
        </is>
      </c>
      <c r="D14" t="n">
        <v>18</v>
      </c>
      <c r="E14" t="n">
        <v>45</v>
      </c>
      <c r="F14" t="n">
        <v>6</v>
      </c>
      <c r="G14" t="n">
        <v>10</v>
      </c>
      <c r="H14" s="4">
        <f>(E14-D14)/E14</f>
        <v/>
      </c>
      <c r="I14" s="5">
        <f>E14*F14</f>
        <v/>
      </c>
    </row>
    <row r="15">
      <c r="A15" t="inlineStr">
        <is>
          <t>SKU-1014</t>
        </is>
      </c>
      <c r="B15" t="inlineStr">
        <is>
          <t>Cable Management Kit</t>
        </is>
      </c>
      <c r="C15" t="inlineStr">
        <is>
          <t>Accessories</t>
        </is>
      </c>
      <c r="D15" t="n">
        <v>5</v>
      </c>
      <c r="E15" t="n">
        <v>15.99</v>
      </c>
      <c r="F15" t="n">
        <v>85</v>
      </c>
      <c r="G15" t="n">
        <v>30</v>
      </c>
      <c r="H15" s="4">
        <f>(E15-D15)/E15</f>
        <v/>
      </c>
      <c r="I15" s="5">
        <f>E15*F15</f>
        <v/>
      </c>
    </row>
    <row r="16">
      <c r="A16" t="inlineStr">
        <is>
          <t>SKU-1015</t>
        </is>
      </c>
      <c r="B16" t="inlineStr">
        <is>
          <t>Laptop Stand - Aluminum</t>
        </is>
      </c>
      <c r="C16" t="inlineStr">
        <is>
          <t>Office</t>
        </is>
      </c>
      <c r="D16" t="n">
        <v>16</v>
      </c>
      <c r="E16" t="n">
        <v>35</v>
      </c>
      <c r="F16" t="n">
        <v>40</v>
      </c>
      <c r="G16" t="n">
        <v>20</v>
      </c>
      <c r="H16" s="4">
        <f>(E16-D16)/E16</f>
        <v/>
      </c>
      <c r="I16" s="5">
        <f>E16*F16</f>
        <v/>
      </c>
    </row>
    <row r="17">
      <c r="A17" t="inlineStr">
        <is>
          <t>SKU-1016</t>
        </is>
      </c>
      <c r="B17" t="inlineStr">
        <is>
          <t>Bluetooth Speaker</t>
        </is>
      </c>
      <c r="C17" t="inlineStr">
        <is>
          <t>Electronics</t>
        </is>
      </c>
      <c r="D17" t="n">
        <v>20</v>
      </c>
      <c r="E17" t="n">
        <v>49.99</v>
      </c>
      <c r="F17" t="n">
        <v>15</v>
      </c>
      <c r="G17" t="n">
        <v>15</v>
      </c>
      <c r="H17" s="4">
        <f>(E17-D17)/E17</f>
        <v/>
      </c>
      <c r="I17" s="5">
        <f>E17*F17</f>
        <v/>
      </c>
    </row>
    <row r="18">
      <c r="A18" t="inlineStr">
        <is>
          <t>SKU-1017</t>
        </is>
      </c>
      <c r="B18" t="inlineStr">
        <is>
          <t>Noise Cancelling Headphones</t>
        </is>
      </c>
      <c r="C18" t="inlineStr">
        <is>
          <t>Electronics</t>
        </is>
      </c>
      <c r="D18" t="n">
        <v>85</v>
      </c>
      <c r="E18" t="n">
        <v>199.99</v>
      </c>
      <c r="F18" t="n">
        <v>7</v>
      </c>
      <c r="G18" t="n">
        <v>10</v>
      </c>
      <c r="H18" s="4">
        <f>(E18-D18)/E18</f>
        <v/>
      </c>
      <c r="I18" s="5">
        <f>E18*F18</f>
        <v/>
      </c>
    </row>
    <row r="19">
      <c r="A19" t="inlineStr">
        <is>
          <t>SKU-1018</t>
        </is>
      </c>
      <c r="B19" t="inlineStr">
        <is>
          <t>Mouse Bungee</t>
        </is>
      </c>
      <c r="C19" t="inlineStr">
        <is>
          <t>Accessories</t>
        </is>
      </c>
      <c r="D19" t="n">
        <v>8</v>
      </c>
      <c r="E19" t="n">
        <v>19.99</v>
      </c>
      <c r="F19" t="n">
        <v>28</v>
      </c>
      <c r="G19" t="n">
        <v>15</v>
      </c>
      <c r="H19" s="4">
        <f>(E19-D19)/E19</f>
        <v/>
      </c>
      <c r="I19" s="5">
        <f>E19*F19</f>
        <v/>
      </c>
    </row>
    <row r="20">
      <c r="A20" t="inlineStr">
        <is>
          <t>SKU-1019</t>
        </is>
      </c>
      <c r="B20" t="inlineStr">
        <is>
          <t>Screen Cleaning Kit</t>
        </is>
      </c>
      <c r="C20" t="inlineStr">
        <is>
          <t>Accessories</t>
        </is>
      </c>
      <c r="D20" t="n">
        <v>4.5</v>
      </c>
      <c r="E20" t="n">
        <v>12.99</v>
      </c>
      <c r="F20" t="n">
        <v>105</v>
      </c>
      <c r="G20" t="n">
        <v>40</v>
      </c>
      <c r="H20" s="4">
        <f>(E20-D20)/E20</f>
        <v/>
      </c>
      <c r="I20" s="5">
        <f>E20*F20</f>
        <v/>
      </c>
    </row>
    <row r="21">
      <c r="A21" t="inlineStr">
        <is>
          <t>SKU-1020</t>
        </is>
      </c>
      <c r="B21" t="inlineStr">
        <is>
          <t>LED Desk Lamp</t>
        </is>
      </c>
      <c r="C21" t="inlineStr">
        <is>
          <t>Office</t>
        </is>
      </c>
      <c r="D21" t="n">
        <v>19</v>
      </c>
      <c r="E21" t="n">
        <v>42</v>
      </c>
      <c r="F21" t="n">
        <v>16</v>
      </c>
      <c r="G21" t="n">
        <v>20</v>
      </c>
      <c r="H21" s="4">
        <f>(E21-D21)/E21</f>
        <v/>
      </c>
      <c r="I21" s="5">
        <f>E21*F21</f>
        <v/>
      </c>
    </row>
  </sheetData>
  <conditionalFormatting sqref="A2:I21">
    <cfRule type="expression" priority="1" dxfId="0" stopIfTrue="0">
      <formula>=$F2&lt;$G2</formula>
    </cfRule>
  </conditionalFormatting>
  <dataValidations count="1">
    <dataValidation sqref="L3" showDropDown="0" showInputMessage="0" showErrorMessage="0" allowBlank="0" errorTitle="Invalid Entry" error="Please select a valid SKU" promptTitle="SKU Selection" prompt="Select a SKU from the dropdown" type="list">
      <formula1>$A$2:$A$21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2026-05-25T17:53:38Z</dcterms:created>
  <dcterms:modified xmlns:dcterms="http://purl.org/dc/terms/" xmlns:xsi="http://www.w3.org/2001/XMLSchema-instance" xsi:type="dcterms:W3CDTF">2026-05-25T17:55:32Z</dcterms:modified>
</cp:coreProperties>
</file>